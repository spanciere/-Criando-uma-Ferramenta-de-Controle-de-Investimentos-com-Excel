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41664\OneDrive - Caixa Economica Federal\Área de Trabalho\"/>
    </mc:Choice>
  </mc:AlternateContent>
  <xr:revisionPtr revIDLastSave="0" documentId="8_{512058CB-9B02-4AFA-A999-791C109B7D01}" xr6:coauthVersionLast="47" xr6:coauthVersionMax="47" xr10:uidLastSave="{00000000-0000-0000-0000-000000000000}"/>
  <bookViews>
    <workbookView xWindow="-108" yWindow="-108" windowWidth="23256" windowHeight="12456" tabRatio="732" xr2:uid="{7A073F32-4946-42DF-B7FA-A6F5D6680604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prazo">Planilha1!$D$17</definedName>
    <definedName name="Rend_Carteira">Planilha1!$D$12</definedName>
    <definedName name="tx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1" l="1"/>
  <c r="D33" i="1" s="1"/>
  <c r="C34" i="1"/>
  <c r="D34" i="1" s="1"/>
  <c r="C35" i="1"/>
  <c r="D35" i="1" s="1"/>
  <c r="C36" i="1"/>
  <c r="D36" i="1" s="1"/>
  <c r="C37" i="1"/>
  <c r="D37" i="1" s="1"/>
  <c r="C32" i="1"/>
  <c r="D32" i="1" s="1"/>
  <c r="A4" i="2"/>
  <c r="G4" i="2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C29" i="1"/>
  <c r="D19" i="1"/>
  <c r="D20" i="1" s="1"/>
  <c r="D13" i="1"/>
  <c r="C24" i="1"/>
  <c r="D24" i="1" s="1"/>
  <c r="C25" i="1"/>
  <c r="D25" i="1" s="1"/>
  <c r="C26" i="1"/>
  <c r="D26" i="1" s="1"/>
  <c r="C23" i="1"/>
  <c r="D23" i="1" s="1"/>
  <c r="D38" i="1" l="1"/>
</calcChain>
</file>

<file path=xl/sharedStrings.xml><?xml version="1.0" encoding="utf-8"?>
<sst xmlns="http://schemas.openxmlformats.org/spreadsheetml/2006/main" count="70" uniqueCount="33">
  <si>
    <t>Quanto investir por mês?</t>
  </si>
  <si>
    <t>Por Quantos Anos?</t>
  </si>
  <si>
    <t>Taxa de Rendimento Mensal</t>
  </si>
  <si>
    <t>Patrimônio Acumulado</t>
  </si>
  <si>
    <t>Dividendos Mensais</t>
  </si>
  <si>
    <t>Quanto em 2 anos?</t>
  </si>
  <si>
    <t>Quanto em 5 anos?</t>
  </si>
  <si>
    <t>Quanto em 10 anos?</t>
  </si>
  <si>
    <t>Quanto em 20 anos?</t>
  </si>
  <si>
    <t xml:space="preserve">Renda Mensal </t>
  </si>
  <si>
    <t>Rendimento Carteira</t>
  </si>
  <si>
    <t xml:space="preserve">Sugestão de Investimento </t>
  </si>
  <si>
    <t>PARÂMETROS</t>
  </si>
  <si>
    <t>INVESTIMENTO MENSAL</t>
  </si>
  <si>
    <t>CENÁRIOS</t>
  </si>
  <si>
    <t>DIVIDENDO</t>
  </si>
  <si>
    <t>PERFIL</t>
  </si>
  <si>
    <t>MODERADO</t>
  </si>
  <si>
    <t>AGRESSIVO</t>
  </si>
  <si>
    <t>TIPOS DE FII</t>
  </si>
  <si>
    <t>PAPEL</t>
  </si>
  <si>
    <t>TIJOLO</t>
  </si>
  <si>
    <t>HIBRIDOS</t>
  </si>
  <si>
    <t>FOF'S</t>
  </si>
  <si>
    <t>DESENVOLVIMENTO</t>
  </si>
  <si>
    <t>HOTELARIA</t>
  </si>
  <si>
    <t>Percentual Sugerido</t>
  </si>
  <si>
    <t>Valores</t>
  </si>
  <si>
    <t>CONSERVADOR</t>
  </si>
  <si>
    <t>TIPO DE FII</t>
  </si>
  <si>
    <t>%</t>
  </si>
  <si>
    <t>CHAVE</t>
  </si>
  <si>
    <t>MODERADO-TIJOLO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</si>
</sst>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%"/>
    <numFmt numFmtId="165" formatCode="&quot;R$&quot;\ #,##0.00"/>
    <numFmt numFmtId="166" formatCode="&quot;R$&quot;\ #,##0.000"/>
    <numFmt numFmtId="168" formatCode="0.0000%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/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/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/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/>
      <top style="medium">
        <color theme="0" tint="-0.2499465926084170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165" fontId="3" fillId="0" borderId="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0" fontId="4" fillId="0" borderId="0" xfId="0" applyFont="1"/>
    <xf numFmtId="44" fontId="0" fillId="3" borderId="13" xfId="0" applyNumberFormat="1" applyFill="1" applyBorder="1"/>
    <xf numFmtId="44" fontId="0" fillId="3" borderId="16" xfId="0" applyNumberFormat="1" applyFill="1" applyBorder="1"/>
    <xf numFmtId="44" fontId="0" fillId="3" borderId="19" xfId="0" applyNumberFormat="1" applyFill="1" applyBorder="1"/>
    <xf numFmtId="0" fontId="6" fillId="2" borderId="5" xfId="0" applyFont="1" applyFill="1" applyBorder="1" applyAlignment="1"/>
    <xf numFmtId="0" fontId="6" fillId="4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/>
    <xf numFmtId="0" fontId="0" fillId="3" borderId="3" xfId="0" applyFill="1" applyBorder="1" applyAlignment="1">
      <alignment horizontal="left" indent="4"/>
    </xf>
    <xf numFmtId="0" fontId="0" fillId="3" borderId="20" xfId="0" applyFill="1" applyBorder="1" applyAlignment="1">
      <alignment horizontal="left" indent="4"/>
    </xf>
    <xf numFmtId="0" fontId="0" fillId="3" borderId="4" xfId="0" applyFill="1" applyBorder="1" applyAlignment="1">
      <alignment horizontal="left" indent="4"/>
    </xf>
    <xf numFmtId="0" fontId="0" fillId="3" borderId="21" xfId="0" applyFill="1" applyBorder="1" applyAlignment="1">
      <alignment horizontal="left" indent="4"/>
    </xf>
    <xf numFmtId="0" fontId="0" fillId="0" borderId="0" xfId="0" applyAlignment="1">
      <alignment horizontal="left" indent="4"/>
    </xf>
    <xf numFmtId="0" fontId="6" fillId="2" borderId="1" xfId="0" applyFont="1" applyFill="1" applyBorder="1" applyAlignment="1">
      <alignment horizontal="left" indent="4"/>
    </xf>
    <xf numFmtId="0" fontId="6" fillId="2" borderId="22" xfId="0" applyFont="1" applyFill="1" applyBorder="1" applyAlignment="1">
      <alignment horizontal="left" indent="4"/>
    </xf>
    <xf numFmtId="0" fontId="0" fillId="0" borderId="3" xfId="0" applyBorder="1" applyAlignment="1">
      <alignment horizontal="left" indent="4"/>
    </xf>
    <xf numFmtId="0" fontId="0" fillId="0" borderId="20" xfId="0" applyBorder="1" applyAlignment="1">
      <alignment horizontal="left" indent="4"/>
    </xf>
    <xf numFmtId="0" fontId="0" fillId="3" borderId="11" xfId="0" applyFill="1" applyBorder="1" applyAlignment="1">
      <alignment horizontal="left" indent="4"/>
    </xf>
    <xf numFmtId="44" fontId="0" fillId="3" borderId="12" xfId="1" applyFont="1" applyFill="1" applyBorder="1" applyAlignment="1">
      <alignment horizontal="left" indent="4"/>
    </xf>
    <xf numFmtId="0" fontId="0" fillId="3" borderId="14" xfId="0" applyFill="1" applyBorder="1" applyAlignment="1">
      <alignment horizontal="left" indent="4"/>
    </xf>
    <xf numFmtId="44" fontId="0" fillId="3" borderId="15" xfId="1" applyFont="1" applyFill="1" applyBorder="1" applyAlignment="1">
      <alignment horizontal="left" indent="4"/>
    </xf>
    <xf numFmtId="0" fontId="0" fillId="3" borderId="17" xfId="0" applyFill="1" applyBorder="1" applyAlignment="1">
      <alignment horizontal="left" indent="4"/>
    </xf>
    <xf numFmtId="44" fontId="0" fillId="3" borderId="18" xfId="1" applyFont="1" applyFill="1" applyBorder="1" applyAlignment="1">
      <alignment horizontal="left" indent="4"/>
    </xf>
    <xf numFmtId="0" fontId="6" fillId="2" borderId="9" xfId="0" applyFont="1" applyFill="1" applyBorder="1" applyAlignment="1">
      <alignment horizontal="left"/>
    </xf>
    <xf numFmtId="0" fontId="6" fillId="2" borderId="10" xfId="0" applyFont="1" applyFill="1" applyBorder="1" applyAlignment="1">
      <alignment horizontal="left"/>
    </xf>
    <xf numFmtId="165" fontId="0" fillId="0" borderId="23" xfId="1" applyNumberFormat="1" applyFont="1" applyBorder="1" applyAlignment="1">
      <alignment horizontal="center"/>
    </xf>
    <xf numFmtId="168" fontId="0" fillId="0" borderId="24" xfId="0" applyNumberFormat="1" applyBorder="1" applyAlignment="1">
      <alignment horizontal="center"/>
    </xf>
    <xf numFmtId="165" fontId="0" fillId="0" borderId="25" xfId="0" applyNumberFormat="1" applyBorder="1" applyAlignment="1">
      <alignment horizontal="center"/>
    </xf>
    <xf numFmtId="0" fontId="6" fillId="4" borderId="22" xfId="0" applyFont="1" applyFill="1" applyBorder="1" applyAlignment="1">
      <alignment horizontal="left" vertical="center"/>
    </xf>
    <xf numFmtId="0" fontId="0" fillId="3" borderId="26" xfId="0" applyFill="1" applyBorder="1" applyAlignment="1">
      <alignment horizontal="left" indent="4"/>
    </xf>
    <xf numFmtId="0" fontId="0" fillId="3" borderId="27" xfId="0" applyFill="1" applyBorder="1" applyAlignment="1">
      <alignment horizontal="left" indent="4"/>
    </xf>
    <xf numFmtId="165" fontId="3" fillId="3" borderId="7" xfId="0" applyNumberFormat="1" applyFont="1" applyFill="1" applyBorder="1" applyAlignment="1">
      <alignment horizontal="center"/>
    </xf>
    <xf numFmtId="166" fontId="3" fillId="3" borderId="8" xfId="0" applyNumberFormat="1" applyFont="1" applyFill="1" applyBorder="1" applyAlignment="1">
      <alignment horizontal="center"/>
    </xf>
    <xf numFmtId="0" fontId="0" fillId="3" borderId="28" xfId="0" applyFill="1" applyBorder="1" applyAlignment="1">
      <alignment horizontal="left" indent="4"/>
    </xf>
    <xf numFmtId="0" fontId="0" fillId="3" borderId="29" xfId="0" applyFill="1" applyBorder="1" applyAlignment="1">
      <alignment horizontal="left" indent="4"/>
    </xf>
    <xf numFmtId="0" fontId="0" fillId="3" borderId="30" xfId="0" applyFill="1" applyBorder="1" applyAlignment="1">
      <alignment horizontal="left" indent="4"/>
    </xf>
    <xf numFmtId="0" fontId="0" fillId="3" borderId="31" xfId="0" applyFill="1" applyBorder="1" applyAlignment="1">
      <alignment horizontal="left" indent="4"/>
    </xf>
    <xf numFmtId="0" fontId="0" fillId="5" borderId="0" xfId="0" applyFill="1" applyAlignment="1">
      <alignment horizontal="center"/>
    </xf>
    <xf numFmtId="0" fontId="0" fillId="6" borderId="0" xfId="0" applyFill="1"/>
    <xf numFmtId="165" fontId="0" fillId="6" borderId="0" xfId="0" applyNumberFormat="1" applyFill="1" applyAlignment="1">
      <alignment horizontal="center"/>
    </xf>
    <xf numFmtId="0" fontId="2" fillId="5" borderId="0" xfId="0" applyFont="1" applyFill="1"/>
    <xf numFmtId="0" fontId="7" fillId="6" borderId="0" xfId="0" applyFont="1" applyFill="1" applyAlignment="1">
      <alignment horizontal="center" vertical="center"/>
    </xf>
    <xf numFmtId="9" fontId="0" fillId="0" borderId="0" xfId="2" applyNumberFormat="1" applyFont="1" applyAlignment="1">
      <alignment horizontal="center"/>
    </xf>
    <xf numFmtId="165" fontId="3" fillId="0" borderId="0" xfId="0" applyNumberFormat="1" applyFont="1"/>
    <xf numFmtId="9" fontId="0" fillId="6" borderId="0" xfId="0" applyNumberFormat="1" applyFill="1"/>
    <xf numFmtId="165" fontId="3" fillId="6" borderId="0" xfId="0" applyNumberFormat="1" applyFont="1" applyFill="1"/>
    <xf numFmtId="0" fontId="0" fillId="0" borderId="32" xfId="0" applyBorder="1"/>
    <xf numFmtId="0" fontId="0" fillId="0" borderId="32" xfId="0" applyBorder="1" applyAlignment="1">
      <alignment horizontal="center"/>
    </xf>
    <xf numFmtId="9" fontId="0" fillId="0" borderId="32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121920</xdr:colOff>
      <xdr:row>0</xdr:row>
      <xdr:rowOff>38100</xdr:rowOff>
    </xdr:from>
    <xdr:to>
      <xdr:col>3</xdr:col>
      <xdr:colOff>883091</xdr:colOff>
      <xdr:row>7</xdr:row>
      <xdr:rowOff>38100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8516D6-3C77-DC20-88FE-DC7FFAA592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783" b="30444"/>
        <a:stretch/>
      </xdr:blipFill>
      <xdr:spPr>
        <a:xfrm>
          <a:off x="731520" y="38100"/>
          <a:ext cx="6628571" cy="1280160"/>
        </a:xfrm>
        <a:prstGeom prst="rect">
          <a:avLst/>
        </a:prstGeom>
      </xdr:spPr>
    </xdr:pic>
    <xdr:clientData/>
  </xdr:twoCellAnchor>
  <xdr:twoCellAnchor>
    <xdr:from>
      <xdr:col>1</xdr:col>
      <xdr:colOff>1920240</xdr:colOff>
      <xdr:row>2</xdr:row>
      <xdr:rowOff>60960</xdr:rowOff>
    </xdr:from>
    <xdr:to>
      <xdr:col>2</xdr:col>
      <xdr:colOff>1920240</xdr:colOff>
      <xdr:row>4</xdr:row>
      <xdr:rowOff>137160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9113EC19-F1E1-D42A-247A-06251CC82CBD}"/>
            </a:ext>
          </a:extLst>
        </xdr:cNvPr>
        <xdr:cNvSpPr txBox="1"/>
      </xdr:nvSpPr>
      <xdr:spPr>
        <a:xfrm>
          <a:off x="2529840" y="426720"/>
          <a:ext cx="3200400" cy="441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2400" b="1">
              <a:solidFill>
                <a:schemeClr val="tx1"/>
              </a:solidFill>
            </a:rPr>
            <a:t>INVESTIMENTO</a:t>
          </a:r>
          <a:r>
            <a:rPr lang="pt-BR" sz="2400" b="1" baseline="0">
              <a:solidFill>
                <a:schemeClr val="tx1"/>
              </a:solidFill>
            </a:rPr>
            <a:t> EM FII's</a:t>
          </a:r>
          <a:endParaRPr lang="pt-BR" sz="24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74487-B019-4B8D-AB30-BB0E586F16DA}">
  <dimension ref="A1:F1048575"/>
  <sheetViews>
    <sheetView showGridLines="0" tabSelected="1" workbookViewId="0">
      <selection activeCell="F6" sqref="F6"/>
    </sheetView>
  </sheetViews>
  <sheetFormatPr defaultColWidth="0" defaultRowHeight="14.4" zeroHeight="1" x14ac:dyDescent="0.3"/>
  <cols>
    <col min="1" max="1" width="8.88671875" customWidth="1"/>
    <col min="2" max="2" width="46.6640625" customWidth="1"/>
    <col min="3" max="3" width="38.88671875" customWidth="1"/>
    <col min="4" max="4" width="14" bestFit="1" customWidth="1"/>
    <col min="5" max="5" width="9.6640625" customWidth="1"/>
    <col min="6" max="6" width="7.109375" customWidth="1"/>
    <col min="7" max="9" width="8.88671875" customWidth="1"/>
    <col min="10" max="16384" width="8.88671875" hidden="1"/>
  </cols>
  <sheetData>
    <row r="1" spans="2:4" x14ac:dyDescent="0.3"/>
    <row r="2" spans="2:4" x14ac:dyDescent="0.3"/>
    <row r="3" spans="2:4" x14ac:dyDescent="0.3"/>
    <row r="4" spans="2:4" x14ac:dyDescent="0.3"/>
    <row r="5" spans="2:4" x14ac:dyDescent="0.3"/>
    <row r="6" spans="2:4" x14ac:dyDescent="0.3"/>
    <row r="7" spans="2:4" x14ac:dyDescent="0.3"/>
    <row r="8" spans="2:4" ht="17.399999999999999" customHeight="1" x14ac:dyDescent="0.3"/>
    <row r="9" spans="2:4" ht="13.8" customHeight="1" thickBot="1" x14ac:dyDescent="0.35"/>
    <row r="10" spans="2:4" ht="34.200000000000003" customHeight="1" x14ac:dyDescent="0.3">
      <c r="B10" s="10" t="s">
        <v>12</v>
      </c>
      <c r="C10" s="33"/>
      <c r="D10" s="11"/>
    </row>
    <row r="11" spans="2:4" ht="15" thickBot="1" x14ac:dyDescent="0.35">
      <c r="B11" s="38" t="s">
        <v>9</v>
      </c>
      <c r="C11" s="34"/>
      <c r="D11" s="30">
        <v>5000</v>
      </c>
    </row>
    <row r="12" spans="2:4" ht="15" thickBot="1" x14ac:dyDescent="0.35">
      <c r="B12" s="39" t="s">
        <v>10</v>
      </c>
      <c r="C12" s="35"/>
      <c r="D12" s="31">
        <v>1.0789999999999999E-2</v>
      </c>
    </row>
    <row r="13" spans="2:4" ht="15" thickBot="1" x14ac:dyDescent="0.35">
      <c r="B13" s="40" t="s">
        <v>11</v>
      </c>
      <c r="C13" s="41"/>
      <c r="D13" s="32">
        <f>D11*20%</f>
        <v>1000</v>
      </c>
    </row>
    <row r="14" spans="2:4" ht="17.399999999999999" customHeight="1" thickBot="1" x14ac:dyDescent="0.35">
      <c r="B14" s="17"/>
      <c r="C14" s="17"/>
    </row>
    <row r="15" spans="2:4" ht="27" customHeight="1" x14ac:dyDescent="0.3">
      <c r="B15" s="18" t="s">
        <v>13</v>
      </c>
      <c r="C15" s="19"/>
      <c r="D15" s="12"/>
    </row>
    <row r="16" spans="2:4" x14ac:dyDescent="0.3">
      <c r="B16" s="20" t="s">
        <v>0</v>
      </c>
      <c r="C16" s="21"/>
      <c r="D16" s="2">
        <v>1000</v>
      </c>
    </row>
    <row r="17" spans="1:4" x14ac:dyDescent="0.3">
      <c r="B17" s="20" t="s">
        <v>1</v>
      </c>
      <c r="C17" s="21"/>
      <c r="D17" s="3">
        <v>1</v>
      </c>
    </row>
    <row r="18" spans="1:4" x14ac:dyDescent="0.3">
      <c r="B18" s="20" t="s">
        <v>2</v>
      </c>
      <c r="C18" s="21"/>
      <c r="D18" s="4">
        <v>1.0789999999999999E-2</v>
      </c>
    </row>
    <row r="19" spans="1:4" x14ac:dyDescent="0.3">
      <c r="B19" s="13" t="s">
        <v>3</v>
      </c>
      <c r="C19" s="14"/>
      <c r="D19" s="36">
        <f>FV(tx_mensal,prazo*12,aporte)*-1</f>
        <v>12738.38600055656</v>
      </c>
    </row>
    <row r="20" spans="1:4" ht="15" thickBot="1" x14ac:dyDescent="0.35">
      <c r="B20" s="15" t="s">
        <v>4</v>
      </c>
      <c r="C20" s="16"/>
      <c r="D20" s="37">
        <f>(patrimonio*$D$12)</f>
        <v>137.44718494600528</v>
      </c>
    </row>
    <row r="21" spans="1:4" ht="15" thickBot="1" x14ac:dyDescent="0.35">
      <c r="B21" s="17"/>
      <c r="C21" s="17"/>
    </row>
    <row r="22" spans="1:4" ht="21.6" customHeight="1" thickBot="1" x14ac:dyDescent="0.35">
      <c r="B22" s="28" t="s">
        <v>14</v>
      </c>
      <c r="C22" s="29"/>
      <c r="D22" s="9" t="s">
        <v>15</v>
      </c>
    </row>
    <row r="23" spans="1:4" x14ac:dyDescent="0.3">
      <c r="A23" s="5">
        <v>2</v>
      </c>
      <c r="B23" s="22" t="s">
        <v>5</v>
      </c>
      <c r="C23" s="23">
        <f>FV($D$18,$A23*12,$D$16)*-1</f>
        <v>27227.627297645216</v>
      </c>
      <c r="D23" s="6">
        <f>C23*$D$12</f>
        <v>293.78609854159185</v>
      </c>
    </row>
    <row r="24" spans="1:4" x14ac:dyDescent="0.3">
      <c r="A24" s="5">
        <v>5</v>
      </c>
      <c r="B24" s="24" t="s">
        <v>6</v>
      </c>
      <c r="C24" s="25">
        <f>FV($D$18,$A24*12,$D$16)*-1</f>
        <v>83776.913998487638</v>
      </c>
      <c r="D24" s="7">
        <f>C24*$D$12</f>
        <v>903.95290204368155</v>
      </c>
    </row>
    <row r="25" spans="1:4" x14ac:dyDescent="0.3">
      <c r="A25" s="5">
        <v>10</v>
      </c>
      <c r="B25" s="24" t="s">
        <v>7</v>
      </c>
      <c r="C25" s="25">
        <f>FV($D$18,$A25*12,$D$16)*-1</f>
        <v>243284.2125301722</v>
      </c>
      <c r="D25" s="7">
        <f>C25*$D$12</f>
        <v>2625.0366532005578</v>
      </c>
    </row>
    <row r="26" spans="1:4" ht="15" thickBot="1" x14ac:dyDescent="0.35">
      <c r="A26" s="5">
        <v>20</v>
      </c>
      <c r="B26" s="26" t="s">
        <v>8</v>
      </c>
      <c r="C26" s="27">
        <f>FV($D$18,$A26*12,$D$16)*-1</f>
        <v>1125198.4000970805</v>
      </c>
      <c r="D26" s="8">
        <f>C26*$D$12</f>
        <v>12140.890737047497</v>
      </c>
    </row>
    <row r="27" spans="1:4" ht="16.2" customHeight="1" x14ac:dyDescent="0.3"/>
    <row r="28" spans="1:4" ht="17.399999999999999" customHeight="1" x14ac:dyDescent="0.3">
      <c r="B28" s="45" t="s">
        <v>16</v>
      </c>
      <c r="C28" s="42" t="s">
        <v>17</v>
      </c>
      <c r="D28" s="42"/>
    </row>
    <row r="29" spans="1:4" ht="17.399999999999999" customHeight="1" x14ac:dyDescent="0.3">
      <c r="B29" s="43" t="s">
        <v>13</v>
      </c>
      <c r="C29" s="44">
        <f>aporte</f>
        <v>1000</v>
      </c>
      <c r="D29" s="44"/>
    </row>
    <row r="30" spans="1:4" ht="16.8" customHeight="1" x14ac:dyDescent="0.3"/>
    <row r="31" spans="1:4" ht="18" customHeight="1" x14ac:dyDescent="0.3">
      <c r="B31" s="46" t="s">
        <v>19</v>
      </c>
      <c r="C31" s="46" t="s">
        <v>26</v>
      </c>
      <c r="D31" s="46" t="s">
        <v>27</v>
      </c>
    </row>
    <row r="32" spans="1:4" ht="18" customHeight="1" x14ac:dyDescent="0.3">
      <c r="B32" s="1" t="s">
        <v>20</v>
      </c>
      <c r="C32" s="47">
        <f>VLOOKUP($C$28&amp;"-"&amp;$B32,Planilha2!$A:$D,4,FALSE)</f>
        <v>0.35</v>
      </c>
      <c r="D32" s="48">
        <f>aporte*C32</f>
        <v>350</v>
      </c>
    </row>
    <row r="33" spans="2:4" ht="17.399999999999999" customHeight="1" x14ac:dyDescent="0.3">
      <c r="B33" s="1" t="s">
        <v>21</v>
      </c>
      <c r="C33" s="47">
        <f>VLOOKUP($C$28&amp;"-"&amp;$B33,Planilha2!$A:$D,4,FALSE)</f>
        <v>0.4</v>
      </c>
      <c r="D33" s="48">
        <f>aporte*C33</f>
        <v>400</v>
      </c>
    </row>
    <row r="34" spans="2:4" x14ac:dyDescent="0.3">
      <c r="B34" s="1" t="s">
        <v>22</v>
      </c>
      <c r="C34" s="47">
        <f>VLOOKUP($C$28&amp;"-"&amp;$B34,Planilha2!$A:$D,4,FALSE)</f>
        <v>0.05</v>
      </c>
      <c r="D34" s="48">
        <f>aporte*C34</f>
        <v>50</v>
      </c>
    </row>
    <row r="35" spans="2:4" x14ac:dyDescent="0.3">
      <c r="B35" s="1" t="s">
        <v>23</v>
      </c>
      <c r="C35" s="47">
        <f>VLOOKUP($C$28&amp;"-"&amp;$B35,Planilha2!$A:$D,4,FALSE)</f>
        <v>0.1</v>
      </c>
      <c r="D35" s="48">
        <f>aporte*C35</f>
        <v>100</v>
      </c>
    </row>
    <row r="36" spans="2:4" x14ac:dyDescent="0.3">
      <c r="B36" s="1" t="s">
        <v>24</v>
      </c>
      <c r="C36" s="47">
        <f>VLOOKUP($C$28&amp;"-"&amp;$B36,Planilha2!$A:$D,4,FALSE)</f>
        <v>0.05</v>
      </c>
      <c r="D36" s="48">
        <f>aporte*C36</f>
        <v>50</v>
      </c>
    </row>
    <row r="37" spans="2:4" ht="18" customHeight="1" x14ac:dyDescent="0.3">
      <c r="B37" s="1" t="s">
        <v>25</v>
      </c>
      <c r="C37" s="47">
        <f>VLOOKUP($C$28&amp;"-"&amp;$B37,Planilha2!$A:$D,4,FALSE)</f>
        <v>0.05</v>
      </c>
      <c r="D37" s="48">
        <f>aporte*C37</f>
        <v>50</v>
      </c>
    </row>
    <row r="38" spans="2:4" x14ac:dyDescent="0.3">
      <c r="B38" s="43"/>
      <c r="C38" s="49"/>
      <c r="D38" s="50">
        <f>SUM(D32:D37)</f>
        <v>1000</v>
      </c>
    </row>
    <row r="39" spans="2:4" x14ac:dyDescent="0.3"/>
    <row r="40" spans="2:4" x14ac:dyDescent="0.3"/>
    <row r="41" spans="2:4" x14ac:dyDescent="0.3"/>
    <row r="42" spans="2:4" x14ac:dyDescent="0.3"/>
    <row r="43" spans="2:4" x14ac:dyDescent="0.3"/>
    <row r="44" spans="2:4" x14ac:dyDescent="0.3"/>
    <row r="49" customFormat="1" hidden="1" x14ac:dyDescent="0.3"/>
    <row r="50" customFormat="1" hidden="1" x14ac:dyDescent="0.3"/>
    <row r="51" customFormat="1" hidden="1" x14ac:dyDescent="0.3"/>
    <row r="52" customFormat="1" hidden="1" x14ac:dyDescent="0.3"/>
    <row r="53" customFormat="1" hidden="1" x14ac:dyDescent="0.3"/>
    <row r="54" customFormat="1" hidden="1" x14ac:dyDescent="0.3"/>
    <row r="1048570" ht="12" hidden="1" customHeight="1" x14ac:dyDescent="0.3"/>
    <row r="1048572" ht="59.4" hidden="1" customHeight="1" x14ac:dyDescent="0.3"/>
    <row r="1048573" ht="27" hidden="1" customHeight="1" x14ac:dyDescent="0.3"/>
    <row r="1048574" ht="32.4" hidden="1" customHeight="1" x14ac:dyDescent="0.3"/>
    <row r="1048575" ht="39.6" hidden="1" customHeight="1" x14ac:dyDescent="0.3"/>
  </sheetData>
  <mergeCells count="13">
    <mergeCell ref="B10:D10"/>
    <mergeCell ref="B17:C17"/>
    <mergeCell ref="B18:C18"/>
    <mergeCell ref="B22:C22"/>
    <mergeCell ref="C28:D28"/>
    <mergeCell ref="C29:D29"/>
    <mergeCell ref="B15:C15"/>
    <mergeCell ref="B19:C19"/>
    <mergeCell ref="B20:C20"/>
    <mergeCell ref="B11:C11"/>
    <mergeCell ref="B12:C12"/>
    <mergeCell ref="B13:C13"/>
    <mergeCell ref="B16:C16"/>
  </mergeCells>
  <dataValidations count="1">
    <dataValidation type="list" allowBlank="1" showInputMessage="1" showErrorMessage="1" sqref="C28:D28" xr:uid="{4DAD2A5F-E506-4B14-B337-AE3CBE2CE0B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7D05-3487-414C-8BEF-0B4F053ED6C9}">
  <dimension ref="A3:G21"/>
  <sheetViews>
    <sheetView workbookViewId="0">
      <selection activeCell="A5" sqref="A5"/>
    </sheetView>
  </sheetViews>
  <sheetFormatPr defaultRowHeight="14.4" x14ac:dyDescent="0.3"/>
  <cols>
    <col min="1" max="1" width="24.21875" customWidth="1"/>
    <col min="2" max="2" width="14.21875" customWidth="1"/>
    <col min="3" max="3" width="17.6640625" bestFit="1" customWidth="1"/>
    <col min="6" max="6" width="17.21875" bestFit="1" customWidth="1"/>
  </cols>
  <sheetData>
    <row r="3" spans="1:7" x14ac:dyDescent="0.3">
      <c r="A3" t="s">
        <v>31</v>
      </c>
      <c r="B3" s="1" t="s">
        <v>16</v>
      </c>
      <c r="C3" s="1" t="s">
        <v>29</v>
      </c>
      <c r="D3" t="s">
        <v>30</v>
      </c>
      <c r="G3" t="s">
        <v>30</v>
      </c>
    </row>
    <row r="4" spans="1:7" x14ac:dyDescent="0.3">
      <c r="A4" t="str">
        <f>B4&amp;"-"&amp;C4</f>
        <v>CONSERVADOR-PAPEL</v>
      </c>
      <c r="B4" t="s">
        <v>28</v>
      </c>
      <c r="C4" s="1" t="s">
        <v>20</v>
      </c>
      <c r="D4" s="47">
        <v>0.3</v>
      </c>
      <c r="F4" t="s">
        <v>32</v>
      </c>
      <c r="G4">
        <f>VLOOKUP(F4,$A:$D,4,FALSE)</f>
        <v>0.4</v>
      </c>
    </row>
    <row r="5" spans="1:7" x14ac:dyDescent="0.3">
      <c r="A5" t="str">
        <f t="shared" ref="A5:A21" si="0">B5&amp;"-"&amp;C5</f>
        <v>CONSERVADOR-TIJOLO</v>
      </c>
      <c r="B5" t="s">
        <v>28</v>
      </c>
      <c r="C5" s="1" t="s">
        <v>21</v>
      </c>
      <c r="D5" s="47">
        <v>0.5</v>
      </c>
    </row>
    <row r="6" spans="1:7" x14ac:dyDescent="0.3">
      <c r="A6" t="str">
        <f t="shared" si="0"/>
        <v>CONSERVADOR-HIBRIDOS</v>
      </c>
      <c r="B6" t="s">
        <v>28</v>
      </c>
      <c r="C6" s="1" t="s">
        <v>22</v>
      </c>
      <c r="D6" s="47">
        <v>0.1</v>
      </c>
    </row>
    <row r="7" spans="1:7" x14ac:dyDescent="0.3">
      <c r="A7" t="str">
        <f t="shared" si="0"/>
        <v>CONSERVADOR-FOF'S</v>
      </c>
      <c r="B7" t="s">
        <v>28</v>
      </c>
      <c r="C7" s="1" t="s">
        <v>23</v>
      </c>
      <c r="D7" s="47">
        <v>0.1</v>
      </c>
    </row>
    <row r="8" spans="1:7" x14ac:dyDescent="0.3">
      <c r="A8" t="str">
        <f t="shared" si="0"/>
        <v>CONSERVADOR-DESENVOLVIMENTO</v>
      </c>
      <c r="B8" t="s">
        <v>28</v>
      </c>
      <c r="C8" s="1" t="s">
        <v>24</v>
      </c>
      <c r="D8" s="47">
        <v>0</v>
      </c>
    </row>
    <row r="9" spans="1:7" x14ac:dyDescent="0.3">
      <c r="A9" s="51" t="str">
        <f t="shared" si="0"/>
        <v>CONSERVADOR-HOTELARIA</v>
      </c>
      <c r="B9" s="51" t="s">
        <v>28</v>
      </c>
      <c r="C9" s="52" t="s">
        <v>25</v>
      </c>
      <c r="D9" s="53">
        <v>0</v>
      </c>
    </row>
    <row r="10" spans="1:7" x14ac:dyDescent="0.3">
      <c r="A10" t="str">
        <f t="shared" si="0"/>
        <v>MODERADO-PAPEL</v>
      </c>
      <c r="B10" t="s">
        <v>17</v>
      </c>
      <c r="C10" s="1" t="s">
        <v>20</v>
      </c>
      <c r="D10" s="47">
        <v>0.35</v>
      </c>
    </row>
    <row r="11" spans="1:7" x14ac:dyDescent="0.3">
      <c r="A11" t="str">
        <f t="shared" si="0"/>
        <v>MODERADO-TIJOLO</v>
      </c>
      <c r="B11" t="s">
        <v>17</v>
      </c>
      <c r="C11" s="1" t="s">
        <v>21</v>
      </c>
      <c r="D11" s="47">
        <v>0.4</v>
      </c>
    </row>
    <row r="12" spans="1:7" x14ac:dyDescent="0.3">
      <c r="A12" t="str">
        <f t="shared" si="0"/>
        <v>MODERADO-HIBRIDOS</v>
      </c>
      <c r="B12" t="s">
        <v>17</v>
      </c>
      <c r="C12" s="1" t="s">
        <v>22</v>
      </c>
      <c r="D12" s="47">
        <v>0.05</v>
      </c>
    </row>
    <row r="13" spans="1:7" x14ac:dyDescent="0.3">
      <c r="A13" t="str">
        <f t="shared" si="0"/>
        <v>MODERADO-FOF'S</v>
      </c>
      <c r="B13" t="s">
        <v>17</v>
      </c>
      <c r="C13" s="1" t="s">
        <v>23</v>
      </c>
      <c r="D13" s="47">
        <v>0.1</v>
      </c>
    </row>
    <row r="14" spans="1:7" x14ac:dyDescent="0.3">
      <c r="A14" t="str">
        <f t="shared" si="0"/>
        <v>MODERADO-DESENVOLVIMENTO</v>
      </c>
      <c r="B14" t="s">
        <v>17</v>
      </c>
      <c r="C14" s="1" t="s">
        <v>24</v>
      </c>
      <c r="D14" s="47">
        <v>0.05</v>
      </c>
    </row>
    <row r="15" spans="1:7" x14ac:dyDescent="0.3">
      <c r="A15" s="51" t="str">
        <f t="shared" si="0"/>
        <v>MODERADO-HOTELARIA</v>
      </c>
      <c r="B15" s="51" t="s">
        <v>17</v>
      </c>
      <c r="C15" s="52" t="s">
        <v>25</v>
      </c>
      <c r="D15" s="53">
        <v>0.05</v>
      </c>
    </row>
    <row r="16" spans="1:7" x14ac:dyDescent="0.3">
      <c r="A16" t="str">
        <f t="shared" si="0"/>
        <v>AGRESSIVO-PAPEL</v>
      </c>
      <c r="B16" t="s">
        <v>18</v>
      </c>
      <c r="C16" s="1" t="s">
        <v>20</v>
      </c>
      <c r="D16" s="47">
        <v>0.2</v>
      </c>
    </row>
    <row r="17" spans="1:4" x14ac:dyDescent="0.3">
      <c r="A17" t="str">
        <f t="shared" si="0"/>
        <v>AGRESSIVO-TIJOLO</v>
      </c>
      <c r="B17" t="s">
        <v>18</v>
      </c>
      <c r="C17" s="1" t="s">
        <v>21</v>
      </c>
      <c r="D17" s="47">
        <v>0.3</v>
      </c>
    </row>
    <row r="18" spans="1:4" x14ac:dyDescent="0.3">
      <c r="A18" t="str">
        <f t="shared" si="0"/>
        <v>AGRESSIVO-HIBRIDOS</v>
      </c>
      <c r="B18" t="s">
        <v>18</v>
      </c>
      <c r="C18" s="1" t="s">
        <v>22</v>
      </c>
      <c r="D18" s="47">
        <v>0.15</v>
      </c>
    </row>
    <row r="19" spans="1:4" x14ac:dyDescent="0.3">
      <c r="A19" t="str">
        <f t="shared" si="0"/>
        <v>AGRESSIVO-FOF'S</v>
      </c>
      <c r="B19" t="s">
        <v>18</v>
      </c>
      <c r="C19" s="1" t="s">
        <v>23</v>
      </c>
      <c r="D19" s="47">
        <v>0.2</v>
      </c>
    </row>
    <row r="20" spans="1:4" x14ac:dyDescent="0.3">
      <c r="A20" t="str">
        <f t="shared" si="0"/>
        <v>AGRESSIVO-DESENVOLVIMENTO</v>
      </c>
      <c r="B20" t="s">
        <v>18</v>
      </c>
      <c r="C20" s="1" t="s">
        <v>24</v>
      </c>
      <c r="D20" s="47">
        <v>0.05</v>
      </c>
    </row>
    <row r="21" spans="1:4" x14ac:dyDescent="0.3">
      <c r="A21" t="str">
        <f t="shared" si="0"/>
        <v>AGRESSIVO-HOTELARIA</v>
      </c>
      <c r="B21" t="s">
        <v>18</v>
      </c>
      <c r="C21" s="1" t="s">
        <v>25</v>
      </c>
      <c r="D21" s="4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Planilha1</vt:lpstr>
      <vt:lpstr>Planilha2</vt:lpstr>
      <vt:lpstr>aporte</vt:lpstr>
      <vt:lpstr>patrimonio</vt:lpstr>
      <vt:lpstr>prazo</vt:lpstr>
      <vt:lpstr>Rend_Carteira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Amorim Panciere</dc:creator>
  <cp:lastModifiedBy>Sheila Amorim Panciere</cp:lastModifiedBy>
  <dcterms:created xsi:type="dcterms:W3CDTF">2026-09-22T18:13:17Z</dcterms:created>
  <dcterms:modified xsi:type="dcterms:W3CDTF">2026-09-22T21:05:15Z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de7aacd-7cc4-4c31-9e6f-7ef306428f09_Enabled">
    <vt:lpwstr>true</vt:lpwstr>
  </property>
  <property fmtid="{D5CDD505-2E9C-101B-9397-08002B2CF9AE}" pid="3" name="MSIP_Label_fde7aacd-7cc4-4c31-9e6f-7ef306428f09_SetDate">
    <vt:lpwstr>2026-09-22T21:05:15Z</vt:lpwstr>
  </property>
  <property fmtid="{D5CDD505-2E9C-101B-9397-08002B2CF9AE}" pid="4" name="MSIP_Label_fde7aacd-7cc4-4c31-9e6f-7ef306428f09_Method">
    <vt:lpwstr>Privileged</vt:lpwstr>
  </property>
  <property fmtid="{D5CDD505-2E9C-101B-9397-08002B2CF9AE}" pid="5" name="MSIP_Label_fde7aacd-7cc4-4c31-9e6f-7ef306428f09_Name">
    <vt:lpwstr>_PUBLICO</vt:lpwstr>
  </property>
  <property fmtid="{D5CDD505-2E9C-101B-9397-08002B2CF9AE}" pid="6" name="MSIP_Label_fde7aacd-7cc4-4c31-9e6f-7ef306428f09_SiteId">
    <vt:lpwstr>ab9bba98-684a-43fb-add8-9c2bebede229</vt:lpwstr>
  </property>
  <property fmtid="{D5CDD505-2E9C-101B-9397-08002B2CF9AE}" pid="7" name="MSIP_Label_fde7aacd-7cc4-4c31-9e6f-7ef306428f09_ActionId">
    <vt:lpwstr>4f39333d-8fbc-489f-83a4-0d605df1cd75</vt:lpwstr>
  </property>
  <property fmtid="{D5CDD505-2E9C-101B-9397-08002B2CF9AE}" pid="8" name="MSIP_Label_fde7aacd-7cc4-4c31-9e6f-7ef306428f09_ContentBits">
    <vt:lpwstr>1</vt:lpwstr>
  </property>
</Properties>
</file>